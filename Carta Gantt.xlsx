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\Documents\GitHub\duoc_fullstack\"/>
    </mc:Choice>
  </mc:AlternateContent>
  <xr:revisionPtr revIDLastSave="0" documentId="13_ncr:1_{5D2BCF82-E702-4662-B3DF-02474B74DAFA}" xr6:coauthVersionLast="47" xr6:coauthVersionMax="47" xr10:uidLastSave="{00000000-0000-0000-0000-000000000000}"/>
  <bookViews>
    <workbookView xWindow="-120" yWindow="-120" windowWidth="29040" windowHeight="15720" activeTab="1" xr2:uid="{6CCCA798-E65F-4DDC-AD8C-08062A140C3B}"/>
  </bookViews>
  <sheets>
    <sheet name="Datos" sheetId="4" r:id="rId1"/>
    <sheet name="Carta Gantt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4" l="1"/>
  <c r="F24" i="4" s="1"/>
  <c r="E2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4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</calcChain>
</file>

<file path=xl/sharedStrings.xml><?xml version="1.0" encoding="utf-8"?>
<sst xmlns="http://schemas.openxmlformats.org/spreadsheetml/2006/main" count="27" uniqueCount="25">
  <si>
    <t>Recepción Proyecto</t>
  </si>
  <si>
    <t>Scrum</t>
  </si>
  <si>
    <t>Preparación Eva. 1</t>
  </si>
  <si>
    <t>Entrega Eva. 1</t>
  </si>
  <si>
    <t>Creación BD Railway</t>
  </si>
  <si>
    <t>Creación Backend</t>
  </si>
  <si>
    <t>Creación Frontend</t>
  </si>
  <si>
    <t>Trabajo Frontend</t>
  </si>
  <si>
    <t>Trabajo Backend</t>
  </si>
  <si>
    <t>Modificación BD Railway</t>
  </si>
  <si>
    <t>Entrega Eva. 2</t>
  </si>
  <si>
    <t>Feedback Entrega Eva. 2</t>
  </si>
  <si>
    <t>Entrega Eva. 3</t>
  </si>
  <si>
    <t>Feedback Entrega Eva. 3</t>
  </si>
  <si>
    <t>Detalles Finales Frontend</t>
  </si>
  <si>
    <t>Detalles Finales Backend</t>
  </si>
  <si>
    <t>Preparación Informe Final</t>
  </si>
  <si>
    <t>Actividades</t>
  </si>
  <si>
    <t>Fecha Inicio</t>
  </si>
  <si>
    <t>Progreso</t>
  </si>
  <si>
    <t>Fecha Final</t>
  </si>
  <si>
    <t>Duración</t>
  </si>
  <si>
    <t>Días Completados</t>
  </si>
  <si>
    <t>Total General</t>
  </si>
  <si>
    <t>FULLSTACK 3 - PROYECTO SANOS Y SALVOS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</si>
</sst>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64" formatCode="00"/>
    <numFmt numFmtId="166" formatCode="dd/mm/yy;@"/>
    <numFmt numFmtId="167" formatCode="dd/mm"/>
  </numFmts>
  <fonts count="6" x14ac:knownFonts="1">
    <font>
      <sz val="11"/>
      <color theme="1"/>
      <name val="Georgia"/>
      <family val="2"/>
    </font>
    <font>
      <sz val="12"/>
      <color theme="1"/>
      <name val="Georgia"/>
      <family val="2"/>
    </font>
    <font>
      <sz val="11"/>
      <color theme="1"/>
      <name val="Georgia"/>
      <family val="2"/>
    </font>
    <font>
      <b/>
      <sz val="11"/>
      <color theme="0"/>
      <name val="Georgia"/>
      <family val="1"/>
    </font>
    <font>
      <b/>
      <sz val="12"/>
      <color theme="0"/>
      <name val="Georgia"/>
      <family val="1"/>
    </font>
    <font>
      <b/>
      <sz val="20"/>
      <color theme="0"/>
      <name val="Georgia"/>
      <family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3" fillId="3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4" fillId="3" borderId="0" xfId="0" applyFont="1" applyFill="1"/>
    <xf numFmtId="166" fontId="3" fillId="3" borderId="0" xfId="0" applyNumberFormat="1" applyFont="1" applyFill="1" applyAlignment="1">
      <alignment horizontal="center"/>
    </xf>
    <xf numFmtId="9" fontId="3" fillId="3" borderId="0" xfId="2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167" fontId="0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0" fontId="5" fillId="2" borderId="0" xfId="0" applyFont="1" applyFill="1" applyAlignment="1">
      <alignment horizontal="center"/>
    </xf>
  </cellXfs>
  <cellStyles count="3">
    <cellStyle name="Millares [0]" xfId="1" builtinId="6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r>
              <a:rPr lang="es-CL"/>
              <a:t>Carta Gantt - Sanos y Salvos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Georgia" panose="02040502050405020303" pitchFamily="18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Datos!$F$4:$F$22</c:f>
                <c:numCache>
                  <c:formatCode>General</c:formatCode>
                  <c:ptCount val="19"/>
                  <c:pt idx="0">
                    <c:v>7</c:v>
                  </c:pt>
                  <c:pt idx="1">
                    <c:v>7</c:v>
                  </c:pt>
                  <c:pt idx="2">
                    <c:v>7</c:v>
                  </c:pt>
                  <c:pt idx="3">
                    <c:v>7</c:v>
                  </c:pt>
                  <c:pt idx="4">
                    <c:v>7</c:v>
                  </c:pt>
                  <c:pt idx="5">
                    <c:v>7</c:v>
                  </c:pt>
                  <c:pt idx="6">
                    <c:v>7</c:v>
                  </c:pt>
                  <c:pt idx="7">
                    <c:v>21</c:v>
                  </c:pt>
                  <c:pt idx="8">
                    <c:v>21</c:v>
                  </c:pt>
                  <c:pt idx="9">
                    <c:v>7</c:v>
                  </c:pt>
                  <c:pt idx="10">
                    <c:v>7</c:v>
                  </c:pt>
                  <c:pt idx="11">
                    <c:v>7</c:v>
                  </c:pt>
                  <c:pt idx="12">
                    <c:v>31.5</c:v>
                  </c:pt>
                  <c:pt idx="13">
                    <c:v>31.5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52400" cap="flat" cmpd="sng" algn="ctr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</c:errBars>
          <c:cat>
            <c:strRef>
              <c:f>Datos!$A$4:$A$22</c:f>
              <c:strCache>
                <c:ptCount val="19"/>
                <c:pt idx="0">
                  <c:v>Recepción Proyecto</c:v>
                </c:pt>
                <c:pt idx="1">
                  <c:v>Scrum</c:v>
                </c:pt>
                <c:pt idx="2">
                  <c:v>Creación Frontend</c:v>
                </c:pt>
                <c:pt idx="3">
                  <c:v>Preparación Eva. 1</c:v>
                </c:pt>
                <c:pt idx="4">
                  <c:v>Entrega Eva. 1</c:v>
                </c:pt>
                <c:pt idx="5">
                  <c:v>Creación Backend</c:v>
                </c:pt>
                <c:pt idx="6">
                  <c:v>Creación BD Railway</c:v>
                </c:pt>
                <c:pt idx="7">
                  <c:v>Trabajo Frontend</c:v>
                </c:pt>
                <c:pt idx="8">
                  <c:v>Trabajo Backend</c:v>
                </c:pt>
                <c:pt idx="9">
                  <c:v>Modificación BD Railway</c:v>
                </c:pt>
                <c:pt idx="10">
                  <c:v>Entrega Eva. 2</c:v>
                </c:pt>
                <c:pt idx="11">
                  <c:v>Feedback Entrega Eva. 2</c:v>
                </c:pt>
                <c:pt idx="12">
                  <c:v>Trabajo Frontend</c:v>
                </c:pt>
                <c:pt idx="13">
                  <c:v>Trabajo Backend</c:v>
                </c:pt>
                <c:pt idx="14">
                  <c:v>Entrega Eva. 3</c:v>
                </c:pt>
                <c:pt idx="15">
                  <c:v>Feedback Entrega Eva. 3</c:v>
                </c:pt>
                <c:pt idx="16">
                  <c:v>Detalles Finales Frontend</c:v>
                </c:pt>
                <c:pt idx="17">
                  <c:v>Detalles Finales Backend</c:v>
                </c:pt>
                <c:pt idx="18">
                  <c:v>Preparación Informe Final</c:v>
                </c:pt>
              </c:strCache>
            </c:strRef>
          </c:cat>
          <c:val>
            <c:numRef>
              <c:f>Datos!$B$4:$B$22</c:f>
              <c:numCache>
                <c:formatCode>dd/mm</c:formatCode>
                <c:ptCount val="19"/>
                <c:pt idx="0">
                  <c:v>46097</c:v>
                </c:pt>
                <c:pt idx="1">
                  <c:v>46104</c:v>
                </c:pt>
                <c:pt idx="2">
                  <c:v>46111</c:v>
                </c:pt>
                <c:pt idx="3">
                  <c:v>46111</c:v>
                </c:pt>
                <c:pt idx="4">
                  <c:v>46118</c:v>
                </c:pt>
                <c:pt idx="5">
                  <c:v>46125</c:v>
                </c:pt>
                <c:pt idx="6">
                  <c:v>46132</c:v>
                </c:pt>
                <c:pt idx="7">
                  <c:v>46132</c:v>
                </c:pt>
                <c:pt idx="8">
                  <c:v>46132</c:v>
                </c:pt>
                <c:pt idx="9">
                  <c:v>46139</c:v>
                </c:pt>
                <c:pt idx="10">
                  <c:v>46153</c:v>
                </c:pt>
                <c:pt idx="11">
                  <c:v>46153</c:v>
                </c:pt>
                <c:pt idx="12">
                  <c:v>46160</c:v>
                </c:pt>
                <c:pt idx="13">
                  <c:v>46160</c:v>
                </c:pt>
                <c:pt idx="14">
                  <c:v>46195</c:v>
                </c:pt>
                <c:pt idx="15">
                  <c:v>46195</c:v>
                </c:pt>
                <c:pt idx="16">
                  <c:v>46202</c:v>
                </c:pt>
                <c:pt idx="17">
                  <c:v>46202</c:v>
                </c:pt>
                <c:pt idx="18">
                  <c:v>46202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7D-4F04-B09A-F6F9E7C89930}"/>
            </c:ext>
          </c:extLst>
        </c:ser>
        <c:ser>
          <c:idx val="1"/>
          <c:order val="1"/>
          <c:tx>
            <c:strRef>
              <c:f>Datos!$C$4:$C$22</c:f>
              <c:strCache>
                <c:ptCount val="19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21</c:v>
                </c:pt>
                <c:pt idx="8">
                  <c:v>21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35</c:v>
                </c:pt>
                <c:pt idx="13">
                  <c:v>35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C64689-0A5C-4045-A2DD-E09852397D53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37D-4F04-B09A-F6F9E7C8993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D065CF1-7125-4E5B-8A08-CF58F2B65C20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37D-4F04-B09A-F6F9E7C8993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9EC9344-8036-4F39-A978-C1CF436EDC8A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37D-4F04-B09A-F6F9E7C8993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7CCCAEA-3E11-4E40-A8C8-5BAAECAE5DE8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37D-4F04-B09A-F6F9E7C8993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F7893F-DCD8-4A27-8B31-5BFB42CF1C0B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37D-4F04-B09A-F6F9E7C8993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FE7FC09-97BD-4342-8D51-DFABAEF48279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37D-4F04-B09A-F6F9E7C8993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B85BDB4-543B-443E-8B67-34F1BD120D8D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37D-4F04-B09A-F6F9E7C8993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4397E62-9192-46CE-9473-60F3A8117CC9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37D-4F04-B09A-F6F9E7C8993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E6FDC8D-D97A-4269-92F7-451EA21297C0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37D-4F04-B09A-F6F9E7C8993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5417208-2743-4FF0-BED6-9649351E533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37D-4F04-B09A-F6F9E7C8993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73274-69C9-4F0C-B8D7-481FA5C402D1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37D-4F04-B09A-F6F9E7C8993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11F2BFD-8920-4F7E-8CE3-CBE738ACD7A5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37D-4F04-B09A-F6F9E7C8993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454A2B2-38B0-444B-950C-10AF6DBAA64A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37D-4F04-B09A-F6F9E7C8993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A20945-73DB-4467-BFFB-C567AE555AF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37D-4F04-B09A-F6F9E7C8993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094E0FD-4D67-4663-9886-C41747563DD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37D-4F04-B09A-F6F9E7C8993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26C3F71-2E11-4BBF-BB7C-0E96490FB43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37D-4F04-B09A-F6F9E7C8993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7F42B8B-7759-41B7-BF1A-9BE5419A9FF9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37D-4F04-B09A-F6F9E7C8993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B06F454-9511-48E8-BB68-74898B4F6539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37D-4F04-B09A-F6F9E7C8993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3881DBE-04A6-4885-94DE-802DE115262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37D-4F04-B09A-F6F9E7C899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Georgia" panose="02040502050405020303" pitchFamily="18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Datos!$A$4:$A$22</c:f>
              <c:strCache>
                <c:ptCount val="19"/>
                <c:pt idx="0">
                  <c:v>Recepción Proyecto</c:v>
                </c:pt>
                <c:pt idx="1">
                  <c:v>Scrum</c:v>
                </c:pt>
                <c:pt idx="2">
                  <c:v>Creación Frontend</c:v>
                </c:pt>
                <c:pt idx="3">
                  <c:v>Preparación Eva. 1</c:v>
                </c:pt>
                <c:pt idx="4">
                  <c:v>Entrega Eva. 1</c:v>
                </c:pt>
                <c:pt idx="5">
                  <c:v>Creación Backend</c:v>
                </c:pt>
                <c:pt idx="6">
                  <c:v>Creación BD Railway</c:v>
                </c:pt>
                <c:pt idx="7">
                  <c:v>Trabajo Frontend</c:v>
                </c:pt>
                <c:pt idx="8">
                  <c:v>Trabajo Backend</c:v>
                </c:pt>
                <c:pt idx="9">
                  <c:v>Modificación BD Railway</c:v>
                </c:pt>
                <c:pt idx="10">
                  <c:v>Entrega Eva. 2</c:v>
                </c:pt>
                <c:pt idx="11">
                  <c:v>Feedback Entrega Eva. 2</c:v>
                </c:pt>
                <c:pt idx="12">
                  <c:v>Trabajo Frontend</c:v>
                </c:pt>
                <c:pt idx="13">
                  <c:v>Trabajo Backend</c:v>
                </c:pt>
                <c:pt idx="14">
                  <c:v>Entrega Eva. 3</c:v>
                </c:pt>
                <c:pt idx="15">
                  <c:v>Feedback Entrega Eva. 3</c:v>
                </c:pt>
                <c:pt idx="16">
                  <c:v>Detalles Finales Frontend</c:v>
                </c:pt>
                <c:pt idx="17">
                  <c:v>Detalles Finales Backend</c:v>
                </c:pt>
                <c:pt idx="18">
                  <c:v>Preparación Informe Final</c:v>
                </c:pt>
              </c:strCache>
            </c:strRef>
          </c:cat>
          <c:val>
            <c:numRef>
              <c:f>Datos!$C$4:$C$22</c:f>
              <c:numCache>
                <c:formatCode>General</c:formatCode>
                <c:ptCount val="19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21</c:v>
                </c:pt>
                <c:pt idx="8">
                  <c:v>21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35</c:v>
                </c:pt>
                <c:pt idx="13">
                  <c:v>35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Datos!$D$4:$D$22</c15:f>
                <c15:dlblRangeCache>
                  <c:ptCount val="19"/>
                  <c:pt idx="0">
                    <c:v>100%</c:v>
                  </c:pt>
                  <c:pt idx="1">
                    <c:v>100%</c:v>
                  </c:pt>
                  <c:pt idx="2">
                    <c:v>100%</c:v>
                  </c:pt>
                  <c:pt idx="3">
                    <c:v>100%</c:v>
                  </c:pt>
                  <c:pt idx="4">
                    <c:v>100%</c:v>
                  </c:pt>
                  <c:pt idx="5">
                    <c:v>100%</c:v>
                  </c:pt>
                  <c:pt idx="6">
                    <c:v>100%</c:v>
                  </c:pt>
                  <c:pt idx="7">
                    <c:v>100%</c:v>
                  </c:pt>
                  <c:pt idx="8">
                    <c:v>100%</c:v>
                  </c:pt>
                  <c:pt idx="9">
                    <c:v>100%</c:v>
                  </c:pt>
                  <c:pt idx="10">
                    <c:v>100%</c:v>
                  </c:pt>
                  <c:pt idx="11">
                    <c:v>100%</c:v>
                  </c:pt>
                  <c:pt idx="12">
                    <c:v>90%</c:v>
                  </c:pt>
                  <c:pt idx="13">
                    <c:v>90%</c:v>
                  </c:pt>
                  <c:pt idx="14">
                    <c:v>0%</c:v>
                  </c:pt>
                  <c:pt idx="15">
                    <c:v>0%</c:v>
                  </c:pt>
                  <c:pt idx="16">
                    <c:v>0%</c:v>
                  </c:pt>
                  <c:pt idx="17">
                    <c:v>0%</c:v>
                  </c:pt>
                  <c:pt idx="18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37D-4F04-B09A-F6F9E7C89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332474239"/>
        <c:axId val="1332475199"/>
      </c:barChart>
      <c:catAx>
        <c:axId val="133247423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s-CL"/>
          </a:p>
        </c:txPr>
        <c:crossAx val="1332475199"/>
        <c:crosses val="autoZero"/>
        <c:auto val="1"/>
        <c:lblAlgn val="ctr"/>
        <c:lblOffset val="100"/>
        <c:noMultiLvlLbl val="0"/>
      </c:catAx>
      <c:valAx>
        <c:axId val="1332475199"/>
        <c:scaling>
          <c:orientation val="minMax"/>
          <c:max val="46215"/>
          <c:min val="460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/mm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s-CL"/>
          </a:p>
        </c:txPr>
        <c:crossAx val="1332474239"/>
        <c:crosses val="autoZero"/>
        <c:crossBetween val="between"/>
        <c:majorUnit val="7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Georgia" panose="02040502050405020303" pitchFamily="18" charset="0"/>
        </a:defRPr>
      </a:pPr>
      <a:endParaRPr lang="es-CL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D1858D-7CAA-4D7B-88CA-FA024D1998B5}">
  <sheetPr/>
  <sheetViews>
    <sheetView tabSelected="1"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79408-7E4F-ADC1-2F3C-7DCCF7F4F5B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A3D47-A693-42FA-A293-2525918CEED8}">
  <dimension ref="A1:F24"/>
  <sheetViews>
    <sheetView workbookViewId="0">
      <selection activeCell="D18" sqref="D18"/>
    </sheetView>
  </sheetViews>
  <sheetFormatPr baseColWidth="10" defaultRowHeight="14.25" x14ac:dyDescent="0.2"/>
  <cols>
    <col min="1" max="1" width="21.88671875" bestFit="1" customWidth="1"/>
    <col min="6" max="6" width="16.21875" bestFit="1" customWidth="1"/>
  </cols>
  <sheetData>
    <row r="1" spans="1:6" ht="25.5" x14ac:dyDescent="0.35">
      <c r="A1" s="13" t="s">
        <v>24</v>
      </c>
      <c r="B1" s="13"/>
      <c r="C1" s="13"/>
      <c r="D1" s="13"/>
      <c r="E1" s="13"/>
      <c r="F1" s="13"/>
    </row>
    <row r="3" spans="1:6" x14ac:dyDescent="0.2">
      <c r="A3" s="4" t="s">
        <v>17</v>
      </c>
      <c r="B3" s="4" t="s">
        <v>18</v>
      </c>
      <c r="C3" s="4" t="s">
        <v>21</v>
      </c>
      <c r="D3" s="4" t="s">
        <v>19</v>
      </c>
      <c r="E3" s="4" t="s">
        <v>20</v>
      </c>
      <c r="F3" s="4" t="s">
        <v>22</v>
      </c>
    </row>
    <row r="4" spans="1:6" ht="15" x14ac:dyDescent="0.2">
      <c r="A4" s="2" t="s">
        <v>0</v>
      </c>
      <c r="B4" s="11">
        <v>46097</v>
      </c>
      <c r="C4" s="1">
        <v>7</v>
      </c>
      <c r="D4" s="5">
        <v>1</v>
      </c>
      <c r="E4" s="12">
        <f>(B4+C4)-1</f>
        <v>46103</v>
      </c>
      <c r="F4" s="6">
        <f>C4*D4</f>
        <v>7</v>
      </c>
    </row>
    <row r="5" spans="1:6" ht="15" x14ac:dyDescent="0.2">
      <c r="A5" s="2" t="s">
        <v>1</v>
      </c>
      <c r="B5" s="12">
        <v>46104</v>
      </c>
      <c r="C5" s="1">
        <v>7</v>
      </c>
      <c r="D5" s="5">
        <v>1</v>
      </c>
      <c r="E5" s="12">
        <f t="shared" ref="E5:E24" si="0">(B5+C5)-1</f>
        <v>46110</v>
      </c>
      <c r="F5" s="6">
        <f t="shared" ref="F5:F22" si="1">C5*D5</f>
        <v>7</v>
      </c>
    </row>
    <row r="6" spans="1:6" ht="15" x14ac:dyDescent="0.2">
      <c r="A6" s="2" t="s">
        <v>6</v>
      </c>
      <c r="B6" s="12">
        <v>46111</v>
      </c>
      <c r="C6" s="1">
        <v>7</v>
      </c>
      <c r="D6" s="5">
        <v>1</v>
      </c>
      <c r="E6" s="12">
        <f t="shared" si="0"/>
        <v>46117</v>
      </c>
      <c r="F6" s="6">
        <f t="shared" si="1"/>
        <v>7</v>
      </c>
    </row>
    <row r="7" spans="1:6" ht="15" x14ac:dyDescent="0.2">
      <c r="A7" s="2" t="s">
        <v>2</v>
      </c>
      <c r="B7" s="12">
        <v>46111</v>
      </c>
      <c r="C7" s="1">
        <v>7</v>
      </c>
      <c r="D7" s="5">
        <v>1</v>
      </c>
      <c r="E7" s="12">
        <f t="shared" si="0"/>
        <v>46117</v>
      </c>
      <c r="F7" s="6">
        <f t="shared" si="1"/>
        <v>7</v>
      </c>
    </row>
    <row r="8" spans="1:6" ht="15" x14ac:dyDescent="0.2">
      <c r="A8" s="2" t="s">
        <v>3</v>
      </c>
      <c r="B8" s="12">
        <v>46118</v>
      </c>
      <c r="C8" s="1">
        <v>7</v>
      </c>
      <c r="D8" s="5">
        <v>1</v>
      </c>
      <c r="E8" s="12">
        <f t="shared" si="0"/>
        <v>46124</v>
      </c>
      <c r="F8" s="6">
        <f t="shared" si="1"/>
        <v>7</v>
      </c>
    </row>
    <row r="9" spans="1:6" ht="15" x14ac:dyDescent="0.2">
      <c r="A9" s="2" t="s">
        <v>5</v>
      </c>
      <c r="B9" s="12">
        <v>46125</v>
      </c>
      <c r="C9" s="1">
        <v>7</v>
      </c>
      <c r="D9" s="5">
        <v>1</v>
      </c>
      <c r="E9" s="12">
        <f t="shared" si="0"/>
        <v>46131</v>
      </c>
      <c r="F9" s="6">
        <f t="shared" si="1"/>
        <v>7</v>
      </c>
    </row>
    <row r="10" spans="1:6" ht="15" x14ac:dyDescent="0.2">
      <c r="A10" s="2" t="s">
        <v>4</v>
      </c>
      <c r="B10" s="12">
        <v>46132</v>
      </c>
      <c r="C10" s="1">
        <v>7</v>
      </c>
      <c r="D10" s="5">
        <v>1</v>
      </c>
      <c r="E10" s="12">
        <f t="shared" si="0"/>
        <v>46138</v>
      </c>
      <c r="F10" s="6">
        <f t="shared" si="1"/>
        <v>7</v>
      </c>
    </row>
    <row r="11" spans="1:6" ht="15" x14ac:dyDescent="0.2">
      <c r="A11" s="2" t="s">
        <v>7</v>
      </c>
      <c r="B11" s="12">
        <v>46132</v>
      </c>
      <c r="C11" s="1">
        <v>21</v>
      </c>
      <c r="D11" s="5">
        <v>1</v>
      </c>
      <c r="E11" s="12">
        <f t="shared" si="0"/>
        <v>46152</v>
      </c>
      <c r="F11" s="6">
        <f t="shared" si="1"/>
        <v>21</v>
      </c>
    </row>
    <row r="12" spans="1:6" ht="15" x14ac:dyDescent="0.2">
      <c r="A12" s="2" t="s">
        <v>8</v>
      </c>
      <c r="B12" s="12">
        <v>46132</v>
      </c>
      <c r="C12" s="1">
        <v>21</v>
      </c>
      <c r="D12" s="5">
        <v>1</v>
      </c>
      <c r="E12" s="12">
        <f t="shared" si="0"/>
        <v>46152</v>
      </c>
      <c r="F12" s="6">
        <f t="shared" si="1"/>
        <v>21</v>
      </c>
    </row>
    <row r="13" spans="1:6" ht="15" x14ac:dyDescent="0.2">
      <c r="A13" s="2" t="s">
        <v>9</v>
      </c>
      <c r="B13" s="12">
        <v>46139</v>
      </c>
      <c r="C13" s="1">
        <v>7</v>
      </c>
      <c r="D13" s="5">
        <v>1</v>
      </c>
      <c r="E13" s="12">
        <f t="shared" si="0"/>
        <v>46145</v>
      </c>
      <c r="F13" s="6">
        <f t="shared" si="1"/>
        <v>7</v>
      </c>
    </row>
    <row r="14" spans="1:6" ht="15" x14ac:dyDescent="0.2">
      <c r="A14" s="2" t="s">
        <v>10</v>
      </c>
      <c r="B14" s="12">
        <v>46153</v>
      </c>
      <c r="C14" s="1">
        <v>7</v>
      </c>
      <c r="D14" s="5">
        <v>1</v>
      </c>
      <c r="E14" s="12">
        <f t="shared" si="0"/>
        <v>46159</v>
      </c>
      <c r="F14" s="6">
        <f t="shared" si="1"/>
        <v>7</v>
      </c>
    </row>
    <row r="15" spans="1:6" ht="15" x14ac:dyDescent="0.2">
      <c r="A15" s="2" t="s">
        <v>11</v>
      </c>
      <c r="B15" s="12">
        <v>46153</v>
      </c>
      <c r="C15" s="1">
        <v>7</v>
      </c>
      <c r="D15" s="5">
        <v>1</v>
      </c>
      <c r="E15" s="12">
        <f t="shared" si="0"/>
        <v>46159</v>
      </c>
      <c r="F15" s="6">
        <f t="shared" si="1"/>
        <v>7</v>
      </c>
    </row>
    <row r="16" spans="1:6" ht="15" x14ac:dyDescent="0.2">
      <c r="A16" s="2" t="s">
        <v>7</v>
      </c>
      <c r="B16" s="12">
        <v>46160</v>
      </c>
      <c r="C16" s="1">
        <v>35</v>
      </c>
      <c r="D16" s="5">
        <v>0.9</v>
      </c>
      <c r="E16" s="12">
        <f t="shared" si="0"/>
        <v>46194</v>
      </c>
      <c r="F16" s="6">
        <f t="shared" si="1"/>
        <v>31.5</v>
      </c>
    </row>
    <row r="17" spans="1:6" ht="15" x14ac:dyDescent="0.2">
      <c r="A17" s="2" t="s">
        <v>8</v>
      </c>
      <c r="B17" s="12">
        <v>46160</v>
      </c>
      <c r="C17" s="1">
        <v>35</v>
      </c>
      <c r="D17" s="5">
        <v>0.9</v>
      </c>
      <c r="E17" s="12">
        <f t="shared" si="0"/>
        <v>46194</v>
      </c>
      <c r="F17" s="6">
        <f t="shared" si="1"/>
        <v>31.5</v>
      </c>
    </row>
    <row r="18" spans="1:6" ht="15" x14ac:dyDescent="0.2">
      <c r="A18" s="2" t="s">
        <v>12</v>
      </c>
      <c r="B18" s="12">
        <v>46195</v>
      </c>
      <c r="C18" s="1">
        <v>7</v>
      </c>
      <c r="D18" s="5">
        <v>0</v>
      </c>
      <c r="E18" s="12">
        <f t="shared" si="0"/>
        <v>46201</v>
      </c>
      <c r="F18" s="6">
        <f t="shared" si="1"/>
        <v>0</v>
      </c>
    </row>
    <row r="19" spans="1:6" ht="15" x14ac:dyDescent="0.2">
      <c r="A19" s="2" t="s">
        <v>13</v>
      </c>
      <c r="B19" s="12">
        <v>46195</v>
      </c>
      <c r="C19" s="1">
        <v>7</v>
      </c>
      <c r="D19" s="5">
        <v>0</v>
      </c>
      <c r="E19" s="12">
        <f t="shared" si="0"/>
        <v>46201</v>
      </c>
      <c r="F19" s="6">
        <f t="shared" si="1"/>
        <v>0</v>
      </c>
    </row>
    <row r="20" spans="1:6" ht="15" x14ac:dyDescent="0.2">
      <c r="A20" s="2" t="s">
        <v>14</v>
      </c>
      <c r="B20" s="12">
        <v>46202</v>
      </c>
      <c r="C20" s="1">
        <v>7</v>
      </c>
      <c r="D20" s="5">
        <v>0</v>
      </c>
      <c r="E20" s="12">
        <f t="shared" si="0"/>
        <v>46208</v>
      </c>
      <c r="F20" s="6">
        <f t="shared" si="1"/>
        <v>0</v>
      </c>
    </row>
    <row r="21" spans="1:6" ht="15" x14ac:dyDescent="0.2">
      <c r="A21" s="2" t="s">
        <v>15</v>
      </c>
      <c r="B21" s="12">
        <v>46202</v>
      </c>
      <c r="C21" s="1">
        <v>7</v>
      </c>
      <c r="D21" s="5">
        <v>0</v>
      </c>
      <c r="E21" s="12">
        <f t="shared" si="0"/>
        <v>46208</v>
      </c>
      <c r="F21" s="6">
        <f t="shared" si="1"/>
        <v>0</v>
      </c>
    </row>
    <row r="22" spans="1:6" ht="15" x14ac:dyDescent="0.2">
      <c r="A22" s="3" t="s">
        <v>16</v>
      </c>
      <c r="B22" s="12">
        <v>46202</v>
      </c>
      <c r="C22" s="1">
        <v>7</v>
      </c>
      <c r="D22" s="5">
        <v>0</v>
      </c>
      <c r="E22" s="11">
        <f t="shared" si="0"/>
        <v>46208</v>
      </c>
      <c r="F22" s="6">
        <f t="shared" si="1"/>
        <v>0</v>
      </c>
    </row>
    <row r="24" spans="1:6" ht="15" x14ac:dyDescent="0.2">
      <c r="A24" s="7" t="s">
        <v>23</v>
      </c>
      <c r="B24" s="8">
        <v>46097</v>
      </c>
      <c r="C24" s="4">
        <v>112</v>
      </c>
      <c r="D24" s="9">
        <f>AVERAGE(D4:D22)</f>
        <v>0.72631578947368425</v>
      </c>
      <c r="E24" s="8">
        <f t="shared" si="0"/>
        <v>46208</v>
      </c>
      <c r="F24" s="10">
        <f>C24*D24</f>
        <v>81.347368421052636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Datos</vt:lpstr>
      <vt:lpstr>Carta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Guerrero</dc:creator>
  <cp:lastModifiedBy>CARLOS ENRIQUE GUERRERO URIBE</cp:lastModifiedBy>
  <dcterms:created xsi:type="dcterms:W3CDTF">2026-05-10T21:40:32Z</dcterms:created>
  <dcterms:modified xsi:type="dcterms:W3CDTF">2026-06-18T21:18:48Z</dcterms:modified>
</cp:coreProperties>
</file>